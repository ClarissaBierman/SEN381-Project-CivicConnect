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build" sheetId="2" state="visible" r:id="rId2"/>
    <sheet xmlns:r="http://schemas.openxmlformats.org/officeDocument/2006/relationships" name="Prod" sheetId="3" state="visible" r:id="rId3"/>
  </sheets>
  <definedNames>
    <definedName name="_xlnm.Print_Titles" localSheetId="1">'Test build'!$4:$4</definedName>
    <definedName name="_xlnm.Print_Titles" localSheetId="2">'Prod'!$4:$4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i val="1"/>
      <color rgb="FF555555"/>
      <sz val="10"/>
    </font>
    <font>
      <name val="Arial"/>
      <family val="2"/>
      <b val="1"/>
      <sz val="14"/>
    </font>
    <font>
      <name val="Arial"/>
      <family val="2"/>
      <b val="1"/>
      <color rgb="FF9C0006"/>
      <sz val="11"/>
    </font>
  </fonts>
  <fills count="5">
    <fill>
      <patternFill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C6EFCE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9" fontId="5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vertical="center" wrapText="1"/>
    </xf>
    <xf numFmtId="0" fontId="4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164" fontId="7" fillId="2" borderId="1" applyAlignment="1" pivotButton="0" quotePrefix="0" xfId="0">
      <alignment vertical="top" wrapText="1"/>
    </xf>
    <xf numFmtId="0" fontId="10" fillId="0" borderId="0" pivotButton="0" quotePrefix="0" xfId="0"/>
    <xf numFmtId="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0" fontId="1" fillId="2" borderId="1" applyAlignment="1" pivotButton="0" quotePrefix="1" xfId="0">
      <alignment vertical="top" wrapText="1"/>
    </xf>
  </cellXfs>
  <cellStyles count="1">
    <cellStyle name="Normal" xfId="0" builtinId="0"/>
  </cellStyles>
  <dxfs count="6">
    <dxf>
      <font>
        <name val="Arial"/>
        <charset val="1"/>
        <color rgb="FF9C5700"/>
      </font>
      <fill>
        <patternFill>
          <bgColor rgb="FFFFEB9C"/>
        </patternFill>
      </fill>
    </dxf>
    <dxf>
      <font>
        <name val="Arial"/>
        <charset val="1"/>
        <color rgb="FF9C0006"/>
      </font>
      <fill>
        <patternFill>
          <bgColor rgb="FFFFC7CE"/>
        </patternFill>
      </fill>
    </dxf>
    <dxf>
      <font>
        <name val="Arial"/>
        <charset val="1"/>
        <color rgb="FF006100"/>
      </font>
      <fill>
        <patternFill>
          <bgColor rgb="FFC6EFCE"/>
        </patternFill>
      </fill>
    </dxf>
    <dxf>
      <font>
        <name val="Arial"/>
        <charset val="1"/>
        <color rgb="FF9C5700"/>
      </font>
      <fill>
        <patternFill>
          <bgColor rgb="FFFFEB9C"/>
        </patternFill>
      </fill>
    </dxf>
    <dxf>
      <font>
        <name val="Arial"/>
        <charset val="1"/>
        <color rgb="FF9C0006"/>
      </font>
      <fill>
        <patternFill>
          <bgColor rgb="FFFFC7CE"/>
        </patternFill>
      </fill>
    </dxf>
    <dxf>
      <font>
        <name val="Arial"/>
        <charset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selection activeCell="B43" sqref="B43"/>
    </sheetView>
  </sheetViews>
  <sheetFormatPr baseColWidth="8" defaultColWidth="8.7109375" defaultRowHeight="15"/>
  <cols>
    <col width="26" customWidth="1" min="1" max="1"/>
    <col width="34" customWidth="1" min="2" max="2"/>
    <col width="14" customWidth="1" min="3" max="3"/>
    <col width="30" customWidth="1" min="4" max="4"/>
    <col width="12" customWidth="1" min="5" max="6"/>
    <col width="14" customWidth="1" min="7" max="7"/>
  </cols>
  <sheetData>
    <row r="1" ht="20.25" customHeight="1">
      <c r="A1" s="1" t="inlineStr">
        <is>
          <t>CivicConnect manual test log</t>
        </is>
      </c>
    </row>
    <row r="3" ht="15.75" customHeight="1">
      <c r="A3" s="2" t="inlineStr">
        <is>
          <t>Run details</t>
        </is>
      </c>
    </row>
    <row r="4">
      <c r="A4" s="3" t="inlineStr">
        <is>
          <t>Test build URL</t>
        </is>
      </c>
      <c r="B4" s="4" t="inlineStr">
        <is>
          <t>http://localhost:4200 (local build, team test Supabase)</t>
        </is>
      </c>
    </row>
    <row r="5">
      <c r="A5" s="3" t="inlineStr">
        <is>
          <t>Test build commit</t>
        </is>
      </c>
      <c r="B5" s="4" t="inlineStr">
        <is>
          <t>a21dac1</t>
        </is>
      </c>
    </row>
    <row r="6">
      <c r="A6" s="3" t="inlineStr">
        <is>
          <t>Test database</t>
        </is>
      </c>
      <c r="B6" s="4" t="inlineStr">
        <is>
          <t>Local / team test Supabase project</t>
        </is>
      </c>
    </row>
    <row r="7">
      <c r="A7" s="3" t="inlineStr">
        <is>
          <t>Prod URL</t>
        </is>
      </c>
      <c r="B7" s="4" t="n"/>
    </row>
    <row r="8">
      <c r="A8" s="3" t="inlineStr">
        <is>
          <t>Prod commit</t>
        </is>
      </c>
      <c r="B8" s="4" t="n"/>
    </row>
    <row r="9">
      <c r="A9" s="3" t="inlineStr">
        <is>
          <t>Run started</t>
        </is>
      </c>
      <c r="B9" s="4" t="inlineStr">
        <is>
          <t>16/10/2026 18:00</t>
        </is>
      </c>
    </row>
    <row r="10">
      <c r="A10" s="3" t="inlineStr">
        <is>
          <t>Testers</t>
        </is>
      </c>
      <c r="B10" s="4" t="inlineStr">
        <is>
          <t>Clarissa Bierman, Eduard Herman</t>
        </is>
      </c>
    </row>
    <row r="11">
      <c r="A11" s="3" t="inlineStr">
        <is>
          <t>Applies to</t>
        </is>
      </c>
      <c r="B11" t="inlineStr">
        <is>
          <t>main 6a198c4 = prod a21dac1. The later fix/m3-review-cleanup commit changes only a log line, tests and documents (no UI or API change), so these results also apply to it.</t>
        </is>
      </c>
    </row>
    <row r="12" ht="15.75" customHeight="1">
      <c r="A12" s="2" t="inlineStr">
        <is>
          <t>Results</t>
        </is>
      </c>
    </row>
    <row r="13">
      <c r="A13" s="5" t="inlineStr">
        <is>
          <t>Result</t>
        </is>
      </c>
      <c r="B13" s="5" t="inlineStr">
        <is>
          <t>Test build</t>
        </is>
      </c>
      <c r="C13" s="5" t="inlineStr">
        <is>
          <t>Prod</t>
        </is>
      </c>
      <c r="D13" s="5" t="inlineStr">
        <is>
          <t>Total</t>
        </is>
      </c>
    </row>
    <row r="14">
      <c r="A14" s="6" t="inlineStr">
        <is>
          <t>Pass</t>
        </is>
      </c>
      <c r="B14" s="6">
        <f>COUNTIF('Test build'!$H$5:$H$43,A14)</f>
        <v/>
      </c>
      <c r="C14" s="6">
        <f>COUNTIF(Prod!$H$5:$H$12,A14)</f>
        <v/>
      </c>
      <c r="D14" s="6">
        <f>B14+C14</f>
        <v/>
      </c>
    </row>
    <row r="15">
      <c r="A15" s="6" t="inlineStr">
        <is>
          <t>Fail</t>
        </is>
      </c>
      <c r="B15" s="6">
        <f>COUNTIF('Test build'!$H$5:$H$43,A15)</f>
        <v/>
      </c>
      <c r="C15" s="6">
        <f>COUNTIF(Prod!$H$5:$H$12,A15)</f>
        <v/>
      </c>
      <c r="D15" s="6">
        <f>B15+C15</f>
        <v/>
      </c>
    </row>
    <row r="16">
      <c r="A16" s="6" t="inlineStr">
        <is>
          <t>Blocked</t>
        </is>
      </c>
      <c r="B16" s="6">
        <f>COUNTIF('Test build'!$H$5:$H$43,A16)</f>
        <v/>
      </c>
      <c r="C16" s="6">
        <f>COUNTIF(Prod!$H$5:$H$12,A16)</f>
        <v/>
      </c>
      <c r="D16" s="6">
        <f>B16+C16</f>
        <v/>
      </c>
    </row>
    <row r="17">
      <c r="A17" s="6" t="inlineStr">
        <is>
          <t>Not run</t>
        </is>
      </c>
      <c r="B17" s="6">
        <f>COUNTIF('Test build'!$H$5:$H$43,A17)</f>
        <v/>
      </c>
      <c r="C17" s="6">
        <f>COUNTIF(Prod!$H$5:$H$12,A17)</f>
        <v/>
      </c>
      <c r="D17" s="6">
        <f>B17+C17</f>
        <v/>
      </c>
    </row>
    <row r="18">
      <c r="A18" s="7" t="inlineStr">
        <is>
          <t>Total</t>
        </is>
      </c>
      <c r="B18" s="7">
        <f>SUM(B14:B17)</f>
        <v/>
      </c>
      <c r="C18" s="7">
        <f>SUM(C14:C17)</f>
        <v/>
      </c>
      <c r="D18" s="7">
        <f>SUM(D14:D17)</f>
        <v/>
      </c>
    </row>
    <row r="19">
      <c r="A19" s="8" t="inlineStr">
        <is>
          <t>Pass rate (of tests attempted: Pass, Fail, Blocked)</t>
        </is>
      </c>
      <c r="B19" s="9">
        <f>IFERROR(B14/(B14+B15+B16),0)</f>
        <v/>
      </c>
      <c r="C19" s="9">
        <f>IFERROR(C14/(C14+C15+C16),0)</f>
        <v/>
      </c>
      <c r="D19" s="9">
        <f>IFERROR(D14/(D14+D15+D16),0)</f>
        <v/>
      </c>
    </row>
    <row r="21" ht="15.75" customHeight="1">
      <c r="A21" s="2" t="inlineStr">
        <is>
          <t>How to use</t>
        </is>
      </c>
    </row>
    <row r="22">
      <c r="A22" s="10" t="inlineStr">
        <is>
          <t>- Yellow cells are the ones to fill in. Everything else is the test definition.</t>
        </is>
      </c>
    </row>
    <row r="23">
      <c r="A23" s="10" t="inlineStr">
        <is>
          <t>- Run "Test build" on a local build or the team's test Supabase project, which has the dummy accounts.</t>
        </is>
      </c>
    </row>
    <row r="24">
      <c r="A24" s="10" t="inlineStr">
        <is>
          <t>- Run "Prod" after every deploy. It creates no data and cannot lock accounts.</t>
        </is>
      </c>
    </row>
    <row r="25">
      <c r="A25" s="10" t="inlineStr">
        <is>
          <t>- Result is a drop-down: Pass, Fail, Blocked (could not run, e.g. a page is missing) or Not run. The counts above update by themselves.</t>
        </is>
      </c>
    </row>
    <row r="26">
      <c r="A26" s="10" t="inlineStr">
        <is>
          <t>- For a Fail, write what happened in Actual result and the defect ID (D-xx) or issue link in Defect / notes.</t>
        </is>
      </c>
    </row>
    <row r="27">
      <c r="A27" s="10" t="inlineStr">
        <is>
          <t>- Also run on the test build: E2E_BASE_URL=&lt;test url&gt; npm run e2e (E2E-01 to E2E-03) and the k6 pilot.</t>
        </is>
      </c>
    </row>
    <row r="29" ht="15.75" customHeight="1"/>
    <row r="31" ht="25.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B1" sqref="B1"/>
      <selection pane="bottomLeft" activeCell="A5" sqref="A5"/>
      <selection pane="bottomRight" activeCell="F24" sqref="F24"/>
    </sheetView>
  </sheetViews>
  <sheetFormatPr baseColWidth="8" defaultColWidth="8.7109375" defaultRowHeight="15"/>
  <cols>
    <col width="8" customWidth="1" min="1" max="1"/>
    <col width="14" customWidth="1" min="2" max="2"/>
    <col width="18" customWidth="1" min="3" max="3"/>
    <col width="30" customWidth="1" min="4" max="4"/>
    <col width="42" customWidth="1" min="5" max="6"/>
    <col width="34" customWidth="1" min="7" max="7"/>
    <col width="11" customWidth="1" min="8" max="8"/>
    <col width="24" customWidth="1" min="9" max="9"/>
    <col width="14" customWidth="1" min="10" max="10"/>
    <col width="12" customWidth="1" min="11" max="11"/>
    <col width="18" customWidth="1" min="12" max="12"/>
  </cols>
  <sheetData>
    <row r="1" ht="18" customHeight="1">
      <c r="A1" s="12" t="inlineStr">
        <is>
          <t>Manual tests - test build (local or test Supabase project)</t>
        </is>
      </c>
    </row>
    <row r="2">
      <c r="A2" s="13" t="inlineStr">
        <is>
          <t>Fill in the yellow columns. Result: Pass, Fail, Blocked or Not run.</t>
        </is>
      </c>
    </row>
    <row r="4" ht="30" customHeight="1">
      <c r="A4" s="14" t="inlineStr">
        <is>
          <t>ID</t>
        </is>
      </c>
      <c r="B4" s="14" t="inlineStr">
        <is>
          <t>Requirement</t>
        </is>
      </c>
      <c r="C4" s="14" t="inlineStr">
        <is>
          <t>Role / account</t>
        </is>
      </c>
      <c r="D4" s="14" t="inlineStr">
        <is>
          <t>Before you start</t>
        </is>
      </c>
      <c r="E4" s="14" t="inlineStr">
        <is>
          <t>Steps</t>
        </is>
      </c>
      <c r="F4" s="14" t="inlineStr">
        <is>
          <t>Expected result</t>
        </is>
      </c>
      <c r="G4" s="14" t="inlineStr">
        <is>
          <t>Actual result</t>
        </is>
      </c>
      <c r="H4" s="14" t="inlineStr">
        <is>
          <t>Result</t>
        </is>
      </c>
      <c r="I4" s="14" t="inlineStr">
        <is>
          <t>Defect / notes</t>
        </is>
      </c>
      <c r="J4" s="14" t="inlineStr">
        <is>
          <t>Tester</t>
        </is>
      </c>
      <c r="K4" s="14" t="inlineStr">
        <is>
          <t>Date</t>
        </is>
      </c>
      <c r="L4" s="14" t="inlineStr">
        <is>
          <t>Commit / URL</t>
        </is>
      </c>
    </row>
    <row r="5">
      <c r="A5" s="15" t="inlineStr">
        <is>
          <t>Login and access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 ht="89.25" customHeight="1">
      <c r="A6" s="17" t="inlineStr">
        <is>
          <t>MT-01</t>
        </is>
      </c>
      <c r="B6" s="17" t="inlineStr">
        <is>
          <t>FR-014</t>
        </is>
      </c>
      <c r="C6" s="17" t="inlineStr">
        <is>
          <t>Requester, handler, manager</t>
        </is>
      </c>
      <c r="D6" s="17" t="inlineStr">
        <is>
          <t>Dummy accounts exist (test database)</t>
        </is>
      </c>
      <c r="E6" s="17" t="inlineStr">
        <is>
          <t>Log in as each role in turn.</t>
        </is>
      </c>
      <c r="F6" s="17" t="inlineStr">
        <is>
          <t>Each lands on their own home page and sees only their own menu items.</t>
        </is>
      </c>
      <c r="G6" s="21" t="inlineStr">
        <is>
          <t>Thabo on requester page (My Requests, New Request, Profile), Ayesha on staff queue (Requests, My account), Lerato on management (Activity, Requests, Categories, Staff, Audit, My account). Each only own menu.</t>
        </is>
      </c>
      <c r="H6" s="18" t="inlineStr">
        <is>
          <t>Pass</t>
        </is>
      </c>
      <c r="I6" s="23" t="inlineStr">
        <is>
          <t>-</t>
        </is>
      </c>
      <c r="J6" s="21" t="inlineStr">
        <is>
          <t>Clarissa Bierman</t>
        </is>
      </c>
      <c r="K6" s="22" t="inlineStr">
        <is>
          <t>16/10/2026</t>
        </is>
      </c>
      <c r="L6" s="21" t="inlineStr">
        <is>
          <t>a21dac1</t>
        </is>
      </c>
    </row>
    <row r="7" ht="25.5" customHeight="1">
      <c r="A7" s="17" t="inlineStr">
        <is>
          <t>MT-02</t>
        </is>
      </c>
      <c r="B7" s="17" t="inlineStr">
        <is>
          <t>FR-014</t>
        </is>
      </c>
      <c r="C7" s="17" t="inlineStr">
        <is>
          <t>Any</t>
        </is>
      </c>
      <c r="D7" s="17" t="inlineStr">
        <is>
          <t>On the login page</t>
        </is>
      </c>
      <c r="E7" s="17" t="inlineStr">
        <is>
          <t>Enter a valid email and a wrong password, then Log in.</t>
        </is>
      </c>
      <c r="F7" s="17" t="inlineStr">
        <is>
          <t>An error message shows; you stay on the login page, logged out.</t>
        </is>
      </c>
      <c r="G7" s="21" t="inlineStr">
        <is>
          <t>Error message shown, stayed on login page, not logged in.</t>
        </is>
      </c>
      <c r="H7" s="18" t="inlineStr">
        <is>
          <t>Pass</t>
        </is>
      </c>
      <c r="I7" s="23" t="inlineStr">
        <is>
          <t>-</t>
        </is>
      </c>
      <c r="J7" s="21" t="inlineStr">
        <is>
          <t>Clarissa Bierman</t>
        </is>
      </c>
      <c r="K7" s="22" t="inlineStr">
        <is>
          <t>16/10/2026</t>
        </is>
      </c>
      <c r="L7" s="21" t="inlineStr">
        <is>
          <t>a21dac1</t>
        </is>
      </c>
    </row>
    <row r="8" ht="38.25" customHeight="1">
      <c r="A8" s="17" t="inlineStr">
        <is>
          <t>MT-03</t>
        </is>
      </c>
      <c r="B8" s="17" t="inlineStr">
        <is>
          <t>FR-014</t>
        </is>
      </c>
      <c r="C8" s="17" t="inlineStr">
        <is>
          <t>Any (use a spare account)</t>
        </is>
      </c>
      <c r="D8" s="17" t="inlineStr">
        <is>
          <t>Account not locked</t>
        </is>
      </c>
      <c r="E8" s="17" t="inlineStr">
        <is>
          <t>Fail the login 5 times for one email, then try a 6th time.</t>
        </is>
      </c>
      <c r="F8" s="17" t="inlineStr">
        <is>
          <t>The 6th attempt shows the "too many attempts" message. Wait for the lockout to end before reusing the account.</t>
        </is>
      </c>
      <c r="G8" s="21" t="inlineStr">
        <is>
          <t>After 5 failed logins the 6th attempt showed the too many attempts message.</t>
        </is>
      </c>
      <c r="H8" s="18" t="inlineStr">
        <is>
          <t>Pass</t>
        </is>
      </c>
      <c r="I8" s="21" t="inlineStr">
        <is>
          <t>Used pieter.smit (spare account)</t>
        </is>
      </c>
      <c r="J8" s="21" t="inlineStr">
        <is>
          <t>Clarissa Bierman</t>
        </is>
      </c>
      <c r="K8" s="22" t="inlineStr">
        <is>
          <t>16/10/2026</t>
        </is>
      </c>
      <c r="L8" s="21" t="inlineStr">
        <is>
          <t>a21dac1</t>
        </is>
      </c>
    </row>
    <row r="9" ht="38.25" customHeight="1">
      <c r="A9" s="17" t="inlineStr">
        <is>
          <t>MT-04</t>
        </is>
      </c>
      <c r="B9" s="17" t="inlineStr">
        <is>
          <t>FR-014</t>
        </is>
      </c>
      <c r="C9" s="17" t="inlineStr">
        <is>
          <t>Handler</t>
        </is>
      </c>
      <c r="D9" s="17" t="inlineStr">
        <is>
          <t>Logged in</t>
        </is>
      </c>
      <c r="E9" s="17" t="inlineStr">
        <is>
          <t>Log out. Press Back, then open /staff/requests directly.</t>
        </is>
      </c>
      <c r="F9" s="17" t="inlineStr">
        <is>
          <t>You are sent to the login page; no request data shows.</t>
        </is>
      </c>
      <c r="G9" s="21" t="inlineStr">
        <is>
          <t>After logout, Back and opening /staff/requests both sent me to login, no request data shown.</t>
        </is>
      </c>
      <c r="H9" s="18" t="inlineStr">
        <is>
          <t>Pass</t>
        </is>
      </c>
      <c r="I9" s="23" t="inlineStr">
        <is>
          <t>-</t>
        </is>
      </c>
      <c r="J9" s="21" t="inlineStr">
        <is>
          <t>Clarissa Bierman</t>
        </is>
      </c>
      <c r="K9" s="22" t="inlineStr">
        <is>
          <t>16/10/2026</t>
        </is>
      </c>
      <c r="L9" s="21" t="inlineStr">
        <is>
          <t>a21dac1</t>
        </is>
      </c>
    </row>
    <row r="10" ht="38.25" customHeight="1">
      <c r="A10" s="17" t="inlineStr">
        <is>
          <t>MT-05</t>
        </is>
      </c>
      <c r="B10" s="17" t="inlineStr">
        <is>
          <t>FR-014</t>
        </is>
      </c>
      <c r="C10" s="17" t="inlineStr">
        <is>
          <t>Requester</t>
        </is>
      </c>
      <c r="D10" s="17" t="inlineStr">
        <is>
          <t>Logged in</t>
        </is>
      </c>
      <c r="E10" s="17" t="inlineStr">
        <is>
          <t>Type /management/staff and /staff/requests in the address bar.</t>
        </is>
      </c>
      <c r="F10" s="17" t="inlineStr">
        <is>
          <t>You are sent away from the page; no staff or management data shows.</t>
        </is>
      </c>
      <c r="G10" s="21" t="inlineStr">
        <is>
          <t>As requester, /management/staff and /staff/requests both redirected away, no staff or management data shown.</t>
        </is>
      </c>
      <c r="H10" s="18" t="inlineStr">
        <is>
          <t>Pass</t>
        </is>
      </c>
      <c r="I10" s="23" t="inlineStr">
        <is>
          <t>-</t>
        </is>
      </c>
      <c r="J10" s="21" t="inlineStr">
        <is>
          <t>Clarissa Bierman</t>
        </is>
      </c>
      <c r="K10" s="22" t="inlineStr">
        <is>
          <t>16/10/2026</t>
        </is>
      </c>
      <c r="L10" s="21" t="inlineStr">
        <is>
          <t>a21dac1</t>
        </is>
      </c>
    </row>
    <row r="11" ht="38.25" customHeight="1">
      <c r="A11" s="17" t="inlineStr">
        <is>
          <t>MT-06</t>
        </is>
      </c>
      <c r="B11" s="17" t="inlineStr">
        <is>
          <t>ARC-03</t>
        </is>
      </c>
      <c r="C11" s="17" t="inlineStr">
        <is>
          <t>Requester</t>
        </is>
      </c>
      <c r="D11" s="17" t="inlineStr">
        <is>
          <t>Logged in</t>
        </is>
      </c>
      <c r="E11" s="17" t="inlineStr">
        <is>
          <t>Open /requests/mine and refresh the browser.</t>
        </is>
      </c>
      <c r="F11" s="17" t="inlineStr">
        <is>
          <t>The page reloads normally (no 404 or blank page).</t>
        </is>
      </c>
      <c r="G11" s="21" t="inlineStr">
        <is>
          <t>Refreshed /requests/mine, page reloaded normally, no 404 or blank page.</t>
        </is>
      </c>
      <c r="H11" s="18" t="inlineStr">
        <is>
          <t>Pass</t>
        </is>
      </c>
      <c r="I11" s="23" t="inlineStr">
        <is>
          <t>-</t>
        </is>
      </c>
      <c r="J11" s="21" t="inlineStr">
        <is>
          <t>Clarissa Bierman</t>
        </is>
      </c>
      <c r="K11" s="22" t="inlineStr">
        <is>
          <t>16/10/2026</t>
        </is>
      </c>
      <c r="L11" s="21" t="inlineStr">
        <is>
          <t>a21dac1</t>
        </is>
      </c>
    </row>
    <row r="12">
      <c r="A12" s="15" t="inlineStr">
        <is>
          <t>Requester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 ht="38.25" customHeight="1">
      <c r="A13" s="17" t="inlineStr">
        <is>
          <t>MT-07</t>
        </is>
      </c>
      <c r="B13" s="17" t="inlineStr">
        <is>
          <t>FR-001</t>
        </is>
      </c>
      <c r="C13" s="17" t="inlineStr">
        <is>
          <t>New requester</t>
        </is>
      </c>
      <c r="D13" s="17" t="inlineStr">
        <is>
          <t>Email not registered yet</t>
        </is>
      </c>
      <c r="E13" s="17" t="inlineStr">
        <is>
          <t>Register a new account, then log in with it.</t>
        </is>
      </c>
      <c r="F13" s="17" t="inlineStr">
        <is>
          <t>Registration succeeds; login works and shows the requester home page.</t>
        </is>
      </c>
      <c r="G13" s="21" t="inlineStr">
        <is>
          <t>Registered cb.test1@example.com, logged in with it, requester home page shown.</t>
        </is>
      </c>
      <c r="H13" s="18" t="inlineStr">
        <is>
          <t>Pass</t>
        </is>
      </c>
      <c r="I13" s="23" t="inlineStr">
        <is>
          <t>-</t>
        </is>
      </c>
      <c r="J13" s="21" t="inlineStr">
        <is>
          <t>Clarissa Bierman</t>
        </is>
      </c>
      <c r="K13" s="22" t="inlineStr">
        <is>
          <t>16/10/2026</t>
        </is>
      </c>
      <c r="L13" s="21" t="inlineStr">
        <is>
          <t>a21dac1</t>
        </is>
      </c>
    </row>
    <row r="14" ht="51" customHeight="1">
      <c r="A14" s="17" t="inlineStr">
        <is>
          <t>MT-08</t>
        </is>
      </c>
      <c r="B14" s="17" t="inlineStr">
        <is>
          <t>D-25</t>
        </is>
      </c>
      <c r="C14" s="17" t="inlineStr">
        <is>
          <t>New requester</t>
        </is>
      </c>
      <c r="D14" s="17" t="inlineStr">
        <is>
          <t>Email already used by another account</t>
        </is>
      </c>
      <c r="E14" s="17" t="inlineStr">
        <is>
          <t>Register with that email and a new password. Try to log in with the new password.</t>
        </is>
      </c>
      <c r="F14" s="17" t="inlineStr">
        <is>
          <t>Same message as a new registration; the new password does not log in.</t>
        </is>
      </c>
      <c r="G14" s="21" t="inlineStr">
        <is>
          <t>Registering with existing email showed the same message as a new registration, new password did not log in.</t>
        </is>
      </c>
      <c r="H14" s="18" t="inlineStr">
        <is>
          <t>Pass</t>
        </is>
      </c>
      <c r="I14" s="21" t="inlineStr">
        <is>
          <t>Used fatima.adams.</t>
        </is>
      </c>
      <c r="J14" s="21" t="inlineStr">
        <is>
          <t>Clarissa Bierman</t>
        </is>
      </c>
      <c r="K14" s="22" t="inlineStr">
        <is>
          <t>16/10/2026</t>
        </is>
      </c>
      <c r="L14" s="21" t="inlineStr">
        <is>
          <t>a21dac1</t>
        </is>
      </c>
    </row>
    <row r="15" ht="25.5" customHeight="1">
      <c r="A15" s="17" t="inlineStr">
        <is>
          <t>MT-09</t>
        </is>
      </c>
      <c r="B15" s="17" t="inlineStr">
        <is>
          <t>FR-001</t>
        </is>
      </c>
      <c r="C15" s="17" t="inlineStr">
        <is>
          <t>Requester</t>
        </is>
      </c>
      <c r="D15" s="17" t="inlineStr">
        <is>
          <t>On New request</t>
        </is>
      </c>
      <c r="E15" s="17" t="inlineStr">
        <is>
          <t>Submit with all fields empty.</t>
        </is>
      </c>
      <c r="F15" s="17" t="inlineStr">
        <is>
          <t>Validation messages show next to the fields; no request is created.</t>
        </is>
      </c>
      <c r="G15" s="21" t="inlineStr">
        <is>
          <t>Validation messages shown next to each required field, no request created.</t>
        </is>
      </c>
      <c r="H15" s="18" t="inlineStr">
        <is>
          <t>Pass</t>
        </is>
      </c>
      <c r="I15" s="23" t="inlineStr">
        <is>
          <t>-</t>
        </is>
      </c>
      <c r="J15" s="21" t="inlineStr">
        <is>
          <t>Clarissa Bierman</t>
        </is>
      </c>
      <c r="K15" s="22" t="inlineStr">
        <is>
          <t>16/10/2026</t>
        </is>
      </c>
      <c r="L15" s="21" t="inlineStr">
        <is>
          <t>a21dac1</t>
        </is>
      </c>
    </row>
    <row r="16" ht="38.25" customHeight="1">
      <c r="A16" s="17" t="inlineStr">
        <is>
          <t>MT-10</t>
        </is>
      </c>
      <c r="B16" s="17" t="inlineStr">
        <is>
          <t>FR-001, FR-003</t>
        </is>
      </c>
      <c r="C16" s="17" t="inlineStr">
        <is>
          <t>Requester</t>
        </is>
      </c>
      <c r="D16" s="17" t="inlineStr">
        <is>
          <t>On New request</t>
        </is>
      </c>
      <c r="E16" s="17" t="inlineStr">
        <is>
          <t>Fill in category, description and location, then submit.</t>
        </is>
      </c>
      <c r="F16" s="17" t="inlineStr">
        <is>
          <t>Confirmation with a reference CC-yyyy-nnnnnn and status New; the request is at the top of My Requests.</t>
        </is>
      </c>
      <c r="G16" s="21" t="inlineStr">
        <is>
          <t>Confirmation with reference CC-2026-000020 and status New, request at top of My requests.</t>
        </is>
      </c>
      <c r="H16" s="18" t="inlineStr">
        <is>
          <t>Pass</t>
        </is>
      </c>
      <c r="I16" s="23" t="inlineStr">
        <is>
          <t>-</t>
        </is>
      </c>
      <c r="J16" s="21" t="inlineStr">
        <is>
          <t>Clarissa Bierman</t>
        </is>
      </c>
      <c r="K16" s="22" t="inlineStr">
        <is>
          <t>16/10/2026</t>
        </is>
      </c>
      <c r="L16" s="21" t="inlineStr">
        <is>
          <t>a21dac1</t>
        </is>
      </c>
    </row>
    <row r="17" ht="38.25" customHeight="1">
      <c r="A17" s="17" t="inlineStr">
        <is>
          <t>MT-11</t>
        </is>
      </c>
      <c r="B17" s="17" t="inlineStr">
        <is>
          <t>FR-002, FR-004</t>
        </is>
      </c>
      <c r="C17" s="17" t="inlineStr">
        <is>
          <t>Requester + handler</t>
        </is>
      </c>
      <c r="D17" s="17" t="inlineStr">
        <is>
          <t>Handler has changed the status and added a visible and an internal note</t>
        </is>
      </c>
      <c r="E17" s="17" t="inlineStr">
        <is>
          <t>As the requester, open the request.</t>
        </is>
      </c>
      <c r="F17" s="17" t="inlineStr">
        <is>
          <t>New status, time and the visible note show; no staff names and no internal note.</t>
        </is>
      </c>
      <c r="G17" s="21" t="inlineStr">
        <is>
          <t>Requester saw new status, time and visible note, no staff names and no internal note.</t>
        </is>
      </c>
      <c r="H17" s="18" t="inlineStr">
        <is>
          <t>Pass</t>
        </is>
      </c>
      <c r="I17" s="21" t="inlineStr">
        <is>
          <t>Handler steps done as Ayesha.</t>
        </is>
      </c>
      <c r="J17" s="21" t="inlineStr">
        <is>
          <t>Clarissa Bierman</t>
        </is>
      </c>
      <c r="K17" s="22" t="inlineStr">
        <is>
          <t>16/10/2026</t>
        </is>
      </c>
      <c r="L17" s="21" t="inlineStr">
        <is>
          <t>a21dac1</t>
        </is>
      </c>
    </row>
    <row r="18" ht="38.25" customHeight="1">
      <c r="A18" s="17" t="inlineStr">
        <is>
          <t>MT-12</t>
        </is>
      </c>
      <c r="B18" s="17" t="inlineStr">
        <is>
          <t>FR-015</t>
        </is>
      </c>
      <c r="C18" s="17" t="inlineStr">
        <is>
          <t>Requester + manager</t>
        </is>
      </c>
      <c r="D18" s="17" t="inlineStr">
        <is>
          <t>Manager has deactivated one category</t>
        </is>
      </c>
      <c r="E18" s="17" t="inlineStr">
        <is>
          <t>Open New request and look at the category list.</t>
        </is>
      </c>
      <c r="F18" s="17" t="inlineStr">
        <is>
          <t>The inactive category is not in the list.</t>
        </is>
      </c>
      <c r="G18" s="21" t="inlineStr">
        <is>
          <t>Deactivated category was not in the requester category list.</t>
        </is>
      </c>
      <c r="H18" s="18" t="inlineStr">
        <is>
          <t>Pass</t>
        </is>
      </c>
      <c r="I18" s="21" t="inlineStr">
        <is>
          <t>Used Damaged Equipment. Category reactivated after the test.</t>
        </is>
      </c>
      <c r="J18" s="21" t="inlineStr">
        <is>
          <t>Clarissa Bierman</t>
        </is>
      </c>
      <c r="K18" s="22" t="inlineStr">
        <is>
          <t>16/10/2026</t>
        </is>
      </c>
      <c r="L18" s="21" t="inlineStr">
        <is>
          <t>a21dac1</t>
        </is>
      </c>
    </row>
    <row r="19" ht="25.5" customHeight="1">
      <c r="A19" s="17" t="inlineStr">
        <is>
          <t>MT-13</t>
        </is>
      </c>
      <c r="B19" s="17" t="inlineStr">
        <is>
          <t>FR-002</t>
        </is>
      </c>
      <c r="C19" s="17" t="inlineStr">
        <is>
          <t>Requester</t>
        </is>
      </c>
      <c r="D19" s="17" t="inlineStr">
        <is>
          <t>Logged in</t>
        </is>
      </c>
      <c r="E19" s="17" t="inlineStr">
        <is>
          <t>On the profile page change the name and email. Log out and log in with the new email.</t>
        </is>
      </c>
      <c r="F19" s="17" t="inlineStr">
        <is>
          <t>Changes are saved; login works with the new email.</t>
        </is>
      </c>
      <c r="G19" s="21" t="inlineStr">
        <is>
          <t>Changed name and email on profile, saved, logged in with the new email.</t>
        </is>
      </c>
      <c r="H19" s="18" t="inlineStr">
        <is>
          <t>Pass</t>
        </is>
      </c>
      <c r="I19" s="21" t="inlineStr">
        <is>
          <t>Used zanele.mahlangu.</t>
        </is>
      </c>
      <c r="J19" s="21" t="inlineStr">
        <is>
          <t>Clarissa Bierman</t>
        </is>
      </c>
      <c r="K19" s="22" t="inlineStr">
        <is>
          <t>16/10/2026</t>
        </is>
      </c>
      <c r="L19" s="21" t="inlineStr">
        <is>
          <t>a21dac1</t>
        </is>
      </c>
    </row>
    <row r="20">
      <c r="A20" s="15" t="inlineStr">
        <is>
          <t>Handler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63.75" customHeight="1">
      <c r="A21" s="17" t="inlineStr">
        <is>
          <t>MT-14</t>
        </is>
      </c>
      <c r="B21" s="17" t="inlineStr">
        <is>
          <t>FR-005</t>
        </is>
      </c>
      <c r="C21" s="17" t="inlineStr">
        <is>
          <t>Handler</t>
        </is>
      </c>
      <c r="D21" s="17" t="inlineStr">
        <is>
          <t>Handler has some categories, not all</t>
        </is>
      </c>
      <c r="E21" s="17" t="inlineStr">
        <is>
          <t>Open the queue.</t>
        </is>
      </c>
      <c r="F21" s="17" t="inlineStr">
        <is>
          <t>Only requests in the handler's own categories are listed.</t>
        </is>
      </c>
      <c r="G21" s="21" t="inlineStr">
        <is>
          <t>Queue showed only Damaged Equipment and IT Support requests; CC-2026-000001 (Facility Faults) and CC-2026-000004 (Security Concerns) not listed.</t>
        </is>
      </c>
      <c r="H21" s="18" t="inlineStr">
        <is>
          <t>Pass</t>
        </is>
      </c>
      <c r="I21" s="18" t="n"/>
      <c r="J21" s="21" t="inlineStr">
        <is>
          <t>Eduard Herman</t>
        </is>
      </c>
      <c r="K21" s="22" t="inlineStr">
        <is>
          <t>16/10/2026</t>
        </is>
      </c>
      <c r="L21" s="21" t="inlineStr">
        <is>
          <t>a21dac1</t>
        </is>
      </c>
    </row>
    <row r="22" ht="51" customHeight="1">
      <c r="A22" s="17" t="inlineStr">
        <is>
          <t>MT-15</t>
        </is>
      </c>
      <c r="B22" s="17" t="inlineStr">
        <is>
          <t>FR-006</t>
        </is>
      </c>
      <c r="C22" s="17" t="inlineStr">
        <is>
          <t>Handler</t>
        </is>
      </c>
      <c r="D22" s="17" t="inlineStr">
        <is>
          <t>Queue has several requests</t>
        </is>
      </c>
      <c r="E22" s="17" t="inlineStr">
        <is>
          <t>Use the status, category and date filters and each sort option.</t>
        </is>
      </c>
      <c r="F22" s="17" t="inlineStr">
        <is>
          <t>The list changes to match every filter and sort.</t>
        </is>
      </c>
      <c r="G22" s="18" t="inlineStr">
        <is>
          <t>Status, category, from/to date filters each narrowed the list correctly; Newest, Oldest and Priority sorts ordered it as expected.</t>
        </is>
      </c>
      <c r="H22" s="18" t="inlineStr">
        <is>
          <t>Pass</t>
        </is>
      </c>
      <c r="I22" s="18" t="n"/>
      <c r="J22" s="21" t="inlineStr">
        <is>
          <t>Eduard Herman</t>
        </is>
      </c>
      <c r="K22" s="22" t="inlineStr">
        <is>
          <t>16/10/2026</t>
        </is>
      </c>
      <c r="L22" s="18" t="inlineStr">
        <is>
          <t>a21dac1</t>
        </is>
      </c>
    </row>
    <row r="23" ht="51" customHeight="1">
      <c r="A23" s="17" t="inlineStr">
        <is>
          <t>MT-16</t>
        </is>
      </c>
      <c r="B23" s="17" t="inlineStr">
        <is>
          <t>FR-008</t>
        </is>
      </c>
      <c r="C23" s="17" t="inlineStr">
        <is>
          <t>Handler</t>
        </is>
      </c>
      <c r="D23" s="17" t="inlineStr">
        <is>
          <t>A New request in scope</t>
        </is>
      </c>
      <c r="E23" s="17" t="inlineStr">
        <is>
          <t>Accept the request.</t>
        </is>
      </c>
      <c r="F23" s="17" t="inlineStr">
        <is>
          <t>It shows as assigned to you, with the time.</t>
        </is>
      </c>
      <c r="G23" s="21" t="inlineStr">
        <is>
          <t>Accepted CC-2026-000002: status New → Assigned, handler shown as Ayesha, history shows Ayesha Patel with time.</t>
        </is>
      </c>
      <c r="H23" s="18" t="inlineStr">
        <is>
          <t>Pass</t>
        </is>
      </c>
      <c r="I23" s="18" t="n"/>
      <c r="J23" s="21" t="inlineStr">
        <is>
          <t>Eduard Herman</t>
        </is>
      </c>
      <c r="K23" s="22" t="inlineStr">
        <is>
          <t>16/10/2026</t>
        </is>
      </c>
      <c r="L23" s="18" t="inlineStr">
        <is>
          <t>a21dac1</t>
        </is>
      </c>
    </row>
    <row r="24" ht="76.5" customHeight="1">
      <c r="A24" s="17" t="inlineStr">
        <is>
          <t>MT-17</t>
        </is>
      </c>
      <c r="B24" s="17" t="inlineStr">
        <is>
          <t>FR-008</t>
        </is>
      </c>
      <c r="C24" s="17" t="inlineStr">
        <is>
          <t>Two handlers</t>
        </is>
      </c>
      <c r="D24" s="17" t="inlineStr">
        <is>
          <t>Two browsers (one private window), same New request open</t>
        </is>
      </c>
      <c r="E24" s="17" t="inlineStr">
        <is>
          <t>Both click Accept at the same moment.</t>
        </is>
      </c>
      <c r="F24" s="17" t="inlineStr">
        <is>
          <t>One succeeds; the other gets an "already assigned" message.</t>
        </is>
      </c>
      <c r="G24" s="21" t="inlineStr">
        <is>
          <t>Ayesha and MT Tester both had CC-2026-000021 open and clicked Accept within a second. MT-Tester got it; the other got "This request is already assigned." Only one handler in the history.</t>
        </is>
      </c>
      <c r="H24" s="18" t="inlineStr">
        <is>
          <t>Pass</t>
        </is>
      </c>
      <c r="I24" s="18" t="n"/>
      <c r="J24" s="21" t="inlineStr">
        <is>
          <t>Eduard Herman</t>
        </is>
      </c>
      <c r="K24" s="22" t="inlineStr">
        <is>
          <t>16/10/2026</t>
        </is>
      </c>
      <c r="L24" s="18" t="inlineStr">
        <is>
          <t>a21dac1</t>
        </is>
      </c>
    </row>
    <row r="25" ht="51" customHeight="1">
      <c r="A25" s="17" t="inlineStr">
        <is>
          <t>MT-18</t>
        </is>
      </c>
      <c r="B25" s="17" t="inlineStr">
        <is>
          <t>FR-009</t>
        </is>
      </c>
      <c r="C25" s="17" t="inlineStr">
        <is>
          <t>Handler</t>
        </is>
      </c>
      <c r="D25" s="17" t="inlineStr">
        <is>
          <t>Own assigned request open</t>
        </is>
      </c>
      <c r="E25" s="17" t="inlineStr">
        <is>
          <t>Look at the status options; try Update before choosing one.</t>
        </is>
      </c>
      <c r="F25" s="17" t="inlineStr">
        <is>
          <t>Only valid next statuses are offered; Update stays disabled until one is chosen.</t>
        </is>
      </c>
      <c r="G25" s="21" t="inlineStr">
        <is>
          <t>On assigned request CC-2026-000002, Update was disabled until a status was chosen; only In Progress and Rejected were offered.</t>
        </is>
      </c>
      <c r="H25" s="18" t="inlineStr">
        <is>
          <t>Pass</t>
        </is>
      </c>
      <c r="I25" s="18" t="n"/>
      <c r="J25" s="21" t="inlineStr">
        <is>
          <t>Eduard Herman</t>
        </is>
      </c>
      <c r="K25" s="22" t="inlineStr">
        <is>
          <t>16/10/2026</t>
        </is>
      </c>
      <c r="L25" s="18" t="inlineStr">
        <is>
          <t>a21dac1</t>
        </is>
      </c>
    </row>
    <row r="26" ht="63.75" customHeight="1">
      <c r="A26" s="17" t="inlineStr">
        <is>
          <t>MT-19</t>
        </is>
      </c>
      <c r="B26" s="17" t="inlineStr">
        <is>
          <t>FR-010</t>
        </is>
      </c>
      <c r="C26" s="17" t="inlineStr">
        <is>
          <t>Handler + requester</t>
        </is>
      </c>
      <c r="D26" s="17" t="inlineStr">
        <is>
          <t>Own assigned request open</t>
        </is>
      </c>
      <c r="E26" s="17" t="inlineStr">
        <is>
          <t>Add a visible note and an internal note. Check as the requester.</t>
        </is>
      </c>
      <c r="F26" s="17" t="inlineStr">
        <is>
          <t>Requester sees only the visible note; neither note can be edited or deleted.</t>
        </is>
      </c>
      <c r="G26" s="18" t="inlineStr">
        <is>
          <t>On CC-2026-000002 added an internal note and a requester-visible note. Requester #2 (Naledi) saw only the visible note, no staff name. No edit/delete on notes.</t>
        </is>
      </c>
      <c r="H26" s="18" t="inlineStr">
        <is>
          <t>Pass</t>
        </is>
      </c>
      <c r="I26" s="18" t="n"/>
      <c r="J26" s="21" t="inlineStr">
        <is>
          <t>Eduard Herman</t>
        </is>
      </c>
      <c r="K26" s="22" t="inlineStr">
        <is>
          <t>16/10/2026</t>
        </is>
      </c>
      <c r="L26" s="18" t="inlineStr">
        <is>
          <t>a21dac1</t>
        </is>
      </c>
    </row>
    <row r="27" ht="63.75" customHeight="1">
      <c r="A27" s="17" t="inlineStr">
        <is>
          <t>MT-20</t>
        </is>
      </c>
      <c r="B27" s="17" t="inlineStr">
        <is>
          <t>FR-011</t>
        </is>
      </c>
      <c r="C27" s="17" t="inlineStr">
        <is>
          <t>Handler</t>
        </is>
      </c>
      <c r="D27" s="17" t="inlineStr">
        <is>
          <t>Own resolved request</t>
        </is>
      </c>
      <c r="E27" s="17" t="inlineStr">
        <is>
          <t>Close the request, then reopen it.</t>
        </is>
      </c>
      <c r="F27" s="17" t="inlineStr">
        <is>
          <t>Read-only: no status options and no comment box.</t>
        </is>
      </c>
      <c r="G27" s="18" t="inlineStr">
        <is>
          <t>Moved CC-2026-000002 In Progress → Resolved → Closed. After reopening: no status options, no Update button and no comment box; read-only message shown; history kept.</t>
        </is>
      </c>
      <c r="H27" s="18" t="inlineStr">
        <is>
          <t>Pass</t>
        </is>
      </c>
      <c r="I27" s="18" t="n"/>
      <c r="J27" s="21" t="inlineStr">
        <is>
          <t>Eduard Herman</t>
        </is>
      </c>
      <c r="K27" s="22" t="inlineStr">
        <is>
          <t>16/10/2026</t>
        </is>
      </c>
      <c r="L27" s="18" t="inlineStr">
        <is>
          <t>a21dac1</t>
        </is>
      </c>
    </row>
    <row r="28" ht="89.25" customHeight="1">
      <c r="A28" s="17" t="inlineStr">
        <is>
          <t>MT-21</t>
        </is>
      </c>
      <c r="B28" s="17" t="inlineStr">
        <is>
          <t>FR-007</t>
        </is>
      </c>
      <c r="C28" s="17" t="inlineStr">
        <is>
          <t>Handler</t>
        </is>
      </c>
      <c r="D28" s="17" t="inlineStr">
        <is>
          <t>A request with several changes</t>
        </is>
      </c>
      <c r="E28" s="17" t="inlineStr">
        <is>
          <t>Open the request detail.</t>
        </is>
      </c>
      <c r="F28" s="17" t="inlineStr">
        <is>
          <t>Full history: who, when, and from/to status for every step.</t>
        </is>
      </c>
      <c r="G28" s="18" t="inlineStr">
        <is>
          <t>CC-2026-000002 history showed every step with actor and time: submitted (Requester #2), assigned, New→Assigned, 2 notes, Assigned→In Progress→Resolved→Closed with from/to status.</t>
        </is>
      </c>
      <c r="H28" s="18" t="inlineStr">
        <is>
          <t>Pass</t>
        </is>
      </c>
      <c r="I28" s="18" t="n"/>
      <c r="J28" s="21" t="inlineStr">
        <is>
          <t>Eduard Herman</t>
        </is>
      </c>
      <c r="K28" s="22" t="inlineStr">
        <is>
          <t>16/10/2026</t>
        </is>
      </c>
      <c r="L28" s="18" t="inlineStr">
        <is>
          <t>a21dac1</t>
        </is>
      </c>
    </row>
    <row r="29" ht="63.75" customHeight="1">
      <c r="A29" s="17" t="inlineStr">
        <is>
          <t>MT-22</t>
        </is>
      </c>
      <c r="B29" s="17" t="inlineStr">
        <is>
          <t>D-26</t>
        </is>
      </c>
      <c r="C29" s="17" t="inlineStr">
        <is>
          <t>Handler</t>
        </is>
      </c>
      <c r="D29" s="17" t="inlineStr">
        <is>
          <t>Logged in</t>
        </is>
      </c>
      <c r="E29" s="17" t="inlineStr">
        <is>
          <t>My account: change the password (current one required). Log out, log in with the new one.</t>
        </is>
      </c>
      <c r="F29" s="17" t="inlineStr">
        <is>
          <t>Password changed; the new password works and the old one does not.</t>
        </is>
      </c>
      <c r="G29" s="18" t="inlineStr">
        <is>
          <t>MT Tester changed password on My account (current password required, confirmation shown). After logout the old password was refused and the new one logged in.</t>
        </is>
      </c>
      <c r="H29" s="18" t="inlineStr">
        <is>
          <t>Pass</t>
        </is>
      </c>
      <c r="I29" s="18" t="n"/>
      <c r="J29" s="21" t="inlineStr">
        <is>
          <t>Eduard Herman</t>
        </is>
      </c>
      <c r="K29" s="22" t="inlineStr">
        <is>
          <t>16/10/2026</t>
        </is>
      </c>
      <c r="L29" s="18" t="inlineStr">
        <is>
          <t>a21dac1</t>
        </is>
      </c>
    </row>
    <row r="30">
      <c r="A30" s="15" t="inlineStr">
        <is>
          <t>Manager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76.5" customHeight="1">
      <c r="A31" s="17" t="inlineStr">
        <is>
          <t>MT-23</t>
        </is>
      </c>
      <c r="B31" s="17" t="inlineStr">
        <is>
          <t>FR-016</t>
        </is>
      </c>
      <c r="C31" s="17" t="inlineStr">
        <is>
          <t>Manager + handler</t>
        </is>
      </c>
      <c r="D31" s="17" t="inlineStr">
        <is>
          <t>A request open as manager</t>
        </is>
      </c>
      <c r="E31" s="17" t="inlineStr">
        <is>
          <t>Set the priority to High. Check the handler's list and the request history.</t>
        </is>
      </c>
      <c r="F31" s="17" t="inlineStr">
        <is>
          <t>The handler's list shows High; the history shows who set it.</t>
        </is>
      </c>
      <c r="G31" s="21" t="inlineStr">
        <is>
          <t>Lerato set CC-2026-000003 to High on the Activity page ("Priority saved."). Ayesha's queue showed High; history showed "Lerato Nkosi - set the priority to High" with time. Handler cannot change priority.</t>
        </is>
      </c>
      <c r="H31" s="18" t="inlineStr">
        <is>
          <t>Pass</t>
        </is>
      </c>
      <c r="I31" s="18" t="n"/>
      <c r="J31" s="21" t="inlineStr">
        <is>
          <t>Eduard Herman</t>
        </is>
      </c>
      <c r="K31" s="22" t="inlineStr">
        <is>
          <t>16/10/2026</t>
        </is>
      </c>
      <c r="L31" s="18" t="inlineStr">
        <is>
          <t>a21dac1</t>
        </is>
      </c>
    </row>
    <row r="32" ht="76.5" customHeight="1">
      <c r="A32" s="17" t="inlineStr">
        <is>
          <t>MT-24</t>
        </is>
      </c>
      <c r="B32" s="17" t="inlineStr">
        <is>
          <t>FR-012</t>
        </is>
      </c>
      <c r="C32" s="17" t="inlineStr">
        <is>
          <t>Manager</t>
        </is>
      </c>
      <c r="D32" s="17" t="inlineStr">
        <is>
          <t>Requests in different statuses, one older than 7 days</t>
        </is>
      </c>
      <c r="E32" s="17" t="inlineStr">
        <is>
          <t>Open the activity page.</t>
        </is>
      </c>
      <c r="F32" s="17" t="inlineStr">
        <is>
          <t>Open, overdue, resolved and closed counts show and match the data.</t>
        </is>
      </c>
      <c r="G32" s="21" t="inlineStr">
        <is>
          <t>Activity (last 30 days) showed Open 9, Overdue 4, Resolved 2, Closed 2, Rejected 1. Category rows add up to the tiles; Closed matched the Requests list filtered by Closed (incl. CC-2026-000002); overdue ≤ open.</t>
        </is>
      </c>
      <c r="H32" s="18" t="inlineStr">
        <is>
          <t>Pass</t>
        </is>
      </c>
      <c r="I32" s="18" t="n"/>
      <c r="J32" s="21" t="inlineStr">
        <is>
          <t>Eduard Herman</t>
        </is>
      </c>
      <c r="K32" s="22" t="inlineStr">
        <is>
          <t>16/10/2026</t>
        </is>
      </c>
      <c r="L32" s="18" t="inlineStr">
        <is>
          <t>a21dac1</t>
        </is>
      </c>
    </row>
    <row r="33" ht="38.25" customHeight="1">
      <c r="A33" s="17" t="inlineStr">
        <is>
          <t>MT-25</t>
        </is>
      </c>
      <c r="B33" s="17" t="inlineStr">
        <is>
          <t>FR-013</t>
        </is>
      </c>
      <c r="C33" s="17" t="inlineStr">
        <is>
          <t>Manager</t>
        </is>
      </c>
      <c r="D33" s="17" t="inlineStr">
        <is>
          <t>On the activity page</t>
        </is>
      </c>
      <c r="E33" s="17" t="inlineStr">
        <is>
          <t>Change category, status and date range one at a time.</t>
        </is>
      </c>
      <c r="F33" s="17" t="inlineStr">
        <is>
          <t>Counts and lists both change to match. (Lists fail until the FR-013 fix.)</t>
        </is>
      </c>
      <c r="G33" s="21" t="inlineStr">
        <is>
          <t>Changing category, status and date range each updated both the counts and the request list.</t>
        </is>
      </c>
      <c r="H33" s="18" t="inlineStr">
        <is>
          <t>Pass</t>
        </is>
      </c>
      <c r="I33" s="21" t="inlineStr">
        <is>
          <t>Fixed in PR #32 (D-41).</t>
        </is>
      </c>
      <c r="J33" s="21" t="inlineStr">
        <is>
          <t>Clarissa Bierman</t>
        </is>
      </c>
      <c r="K33" s="22" t="inlineStr">
        <is>
          <t>16/10/2026</t>
        </is>
      </c>
      <c r="L33" s="21" t="inlineStr">
        <is>
          <t>a21dac1</t>
        </is>
      </c>
    </row>
    <row r="34" ht="76.5" customHeight="1">
      <c r="A34" s="17" t="inlineStr">
        <is>
          <t>MT-26</t>
        </is>
      </c>
      <c r="B34" s="17" t="inlineStr">
        <is>
          <t>FR-015</t>
        </is>
      </c>
      <c r="C34" s="17" t="inlineStr">
        <is>
          <t>Manager + requester</t>
        </is>
      </c>
      <c r="D34" s="17" t="inlineStr">
        <is>
          <t>On the categories page</t>
        </is>
      </c>
      <c r="E34" s="17" t="inlineStr">
        <is>
          <t>Add a category; check as requester. Deactivate it; check again.</t>
        </is>
      </c>
      <c r="F34" s="17" t="inlineStr">
        <is>
          <t>The requester sees the new category, then no longer sees it.</t>
        </is>
      </c>
      <c r="G34" s="21" t="inlineStr">
        <is>
          <t>Lerato added "MT-26 test category"; it appeared in Thabo's New request category list. After Deactivate it stayed in the Categories table as Inactive and disappeared from the requester's list (Parking also not offered).</t>
        </is>
      </c>
      <c r="H34" s="18" t="inlineStr">
        <is>
          <t>Pass</t>
        </is>
      </c>
      <c r="I34" s="18" t="n"/>
      <c r="J34" s="21" t="inlineStr">
        <is>
          <t>Eduard Herman</t>
        </is>
      </c>
      <c r="K34" s="22" t="inlineStr">
        <is>
          <t>16/10/2026</t>
        </is>
      </c>
      <c r="L34" s="18" t="inlineStr">
        <is>
          <t>a21dac1</t>
        </is>
      </c>
    </row>
    <row r="35" ht="63.75" customHeight="1">
      <c r="A35" s="17" t="inlineStr">
        <is>
          <t>MT-27</t>
        </is>
      </c>
      <c r="B35" s="17" t="inlineStr">
        <is>
          <t>FR-005</t>
        </is>
      </c>
      <c r="C35" s="17" t="inlineStr">
        <is>
          <t>Manager</t>
        </is>
      </c>
      <c r="D35" s="17" t="inlineStr">
        <is>
          <t>On the staff page</t>
        </is>
      </c>
      <c r="E35" s="17" t="inlineStr">
        <is>
          <t>Create a staff member, give them categories, log in as them.</t>
        </is>
      </c>
      <c r="F35" s="17" t="inlineStr">
        <is>
          <t>The new staff member logs in and sees only those categories.</t>
        </is>
      </c>
      <c r="G35" s="18" t="inlineStr">
        <is>
          <t>Lerato created staff member "MT Tester" and gave them only IT Support ("Categories saved."). MT Tester logged in and the queue showed only IT Support requests.</t>
        </is>
      </c>
      <c r="H35" s="18" t="inlineStr">
        <is>
          <t>Pass</t>
        </is>
      </c>
      <c r="I35" s="18" t="n"/>
      <c r="J35" s="21" t="inlineStr">
        <is>
          <t>Eduard Herman</t>
        </is>
      </c>
      <c r="K35" s="22" t="inlineStr">
        <is>
          <t>16/10/2026</t>
        </is>
      </c>
      <c r="L35" s="18" t="inlineStr">
        <is>
          <t>a21dac1</t>
        </is>
      </c>
    </row>
    <row r="36" ht="102" customHeight="1">
      <c r="A36" s="17" t="inlineStr">
        <is>
          <t>MT-28</t>
        </is>
      </c>
      <c r="B36" s="17" t="inlineStr">
        <is>
          <t>E2E-03</t>
        </is>
      </c>
      <c r="C36" s="17" t="inlineStr">
        <is>
          <t>Manager + handler</t>
        </is>
      </c>
      <c r="D36" s="17" t="inlineStr">
        <is>
          <t>Handler logged in elsewhere with open requests</t>
        </is>
      </c>
      <c r="E36" s="17" t="inlineStr">
        <is>
          <t>Deactivate the handler; handler clicks anything.</t>
        </is>
      </c>
      <c r="F36" s="17" t="inlineStr">
        <is>
          <t>Handler is logged out on the next action; their open requests go back to the queue.</t>
        </is>
      </c>
      <c r="G36" s="21" t="inlineStr">
        <is>
          <t>Lerato deactivated MT Tester while logged in elsewhere. MT Tester's next click went to the login page with an "account no longer active" message; re-login refused. CC-2026-000021 went from Assigned back to New with no handler; history shows removal + internal note by Lerato.</t>
        </is>
      </c>
      <c r="H36" s="18" t="inlineStr">
        <is>
          <t>Pass</t>
        </is>
      </c>
      <c r="I36" s="18" t="n"/>
      <c r="J36" s="21" t="inlineStr">
        <is>
          <t>Eduard Herman</t>
        </is>
      </c>
      <c r="K36" s="22" t="inlineStr">
        <is>
          <t>16/10/2026</t>
        </is>
      </c>
      <c r="L36" s="18" t="inlineStr">
        <is>
          <t>a21dac1</t>
        </is>
      </c>
    </row>
    <row r="37" ht="114.75" customHeight="1">
      <c r="A37" s="17" t="inlineStr">
        <is>
          <t>MT-29</t>
        </is>
      </c>
      <c r="B37" s="17" t="inlineStr">
        <is>
          <t>FR-014</t>
        </is>
      </c>
      <c r="C37" s="17" t="inlineStr">
        <is>
          <t>Manager</t>
        </is>
      </c>
      <c r="D37" s="17" t="inlineStr">
        <is>
          <t>Only one active manager</t>
        </is>
      </c>
      <c r="E37" s="17" t="inlineStr">
        <is>
          <t>Try to deactivate yourself.</t>
        </is>
      </c>
      <c r="F37" s="17" t="inlineStr">
        <is>
          <t>Refused with a message.</t>
        </is>
      </c>
      <c r="G37" s="18" t="inlineStr">
        <is>
          <t>Not executed: precondition not met. Test database has 2 active managers (Lerato, admin@gmail.com); the rule only blocks the last one, so running it would really deactivate Lerato on the shared test DB.</t>
        </is>
      </c>
      <c r="H37" s="18" t="inlineStr">
        <is>
          <t>Blocked</t>
        </is>
      </c>
      <c r="I37" s="21" t="inlineStr">
        <is>
          <t>Covered by automated tests EmployeeServiceTest.lastManagerProtected and ApiHttpIntegrationTest.lastManagerCannotBeDeactivated (CI, fresh DB). Can be run manually on a local DB with a single manager.</t>
        </is>
      </c>
      <c r="J37" s="21" t="inlineStr">
        <is>
          <t>Eduard Herman</t>
        </is>
      </c>
      <c r="K37" s="22" t="inlineStr">
        <is>
          <t>16/10/2026</t>
        </is>
      </c>
      <c r="L37" s="18" t="inlineStr">
        <is>
          <t>a21dac1</t>
        </is>
      </c>
    </row>
    <row r="38" ht="89.25" customHeight="1">
      <c r="A38" s="17" t="inlineStr">
        <is>
          <t>MT-30</t>
        </is>
      </c>
      <c r="B38" s="17" t="inlineStr">
        <is>
          <t>FR-007, POPIA</t>
        </is>
      </c>
      <c r="C38" s="17" t="inlineStr">
        <is>
          <t>Manager</t>
        </is>
      </c>
      <c r="D38" s="17" t="inlineStr">
        <is>
          <t>Some activity exists</t>
        </is>
      </c>
      <c r="E38" s="17" t="inlineStr">
        <is>
          <t>Open the audit page.</t>
        </is>
      </c>
      <c r="F38" s="17" t="inlineStr">
        <is>
          <t>Entries show; client personal details are not shown in them.</t>
        </is>
      </c>
      <c r="G38" s="18" t="inlineStr">
        <is>
          <t>Audit page listed entries with time, operation, record and actor (e.g. CC-2026-000002 status changes by Ayesha). Clients audit showed the POPIA notice and no name, email, phone, address or password; requesters shown as "Requester #N"</t>
        </is>
      </c>
      <c r="H38" s="18" t="inlineStr">
        <is>
          <t>Pass</t>
        </is>
      </c>
      <c r="I38" s="18" t="n"/>
      <c r="J38" s="21" t="inlineStr">
        <is>
          <t>Eduard Herman</t>
        </is>
      </c>
      <c r="K38" s="22" t="inlineStr">
        <is>
          <t>16/10/2026</t>
        </is>
      </c>
      <c r="L38" s="18" t="inlineStr">
        <is>
          <t>a21dac1</t>
        </is>
      </c>
    </row>
    <row r="39">
      <c r="A39" s="15" t="inlineStr">
        <is>
          <t>Errors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 ht="102" customHeight="1">
      <c r="A40" s="17" t="inlineStr">
        <is>
          <t>MT-31</t>
        </is>
      </c>
      <c r="B40" s="17" t="inlineStr">
        <is>
          <t>NFR-005</t>
        </is>
      </c>
      <c r="C40" s="17" t="inlineStr">
        <is>
          <t>Any</t>
        </is>
      </c>
      <c r="D40" s="17" t="inlineStr">
        <is>
          <t>Local build: stop the database (never on prod)</t>
        </is>
      </c>
      <c r="E40" s="17" t="inlineStr">
        <is>
          <t>Use any page that loads data.</t>
        </is>
      </c>
      <c r="F40" s="17" t="inlineStr">
        <is>
          <t>"Service temporarily unavailable" shows, not a blank page.</t>
        </is>
      </c>
      <c r="G40" s="21" t="inlineStr">
        <is>
          <t>Backend running locally, Wi-Fi switched off so the test Supabase DB was unreachable. Requests page showed "Service temporarily unavailable." after ~30 s (connection timeout), no blank page. With Wi-Fi back on, the page loaded normally without a restart.</t>
        </is>
      </c>
      <c r="H40" s="18" t="inlineStr">
        <is>
          <t>Pass</t>
        </is>
      </c>
      <c r="I40" s="18" t="inlineStr">
        <is>
          <t>Simulated by cutting the network instead of stopping the shared DB. ~30 s wait before the message is the Hikari connection timeout.</t>
        </is>
      </c>
      <c r="J40" s="21" t="inlineStr">
        <is>
          <t>Eduard Herman</t>
        </is>
      </c>
      <c r="K40" s="22" t="inlineStr">
        <is>
          <t>16/10/2026</t>
        </is>
      </c>
      <c r="L40" s="18" t="inlineStr">
        <is>
          <t>a21dac1</t>
        </is>
      </c>
    </row>
    <row r="41" ht="51" customHeight="1">
      <c r="A41" s="17" t="inlineStr">
        <is>
          <t>MT-32</t>
        </is>
      </c>
      <c r="B41" s="17" t="inlineStr">
        <is>
          <t>D-38</t>
        </is>
      </c>
      <c r="C41" s="17" t="inlineStr">
        <is>
          <t>Handler</t>
        </is>
      </c>
      <c r="D41" s="17" t="inlineStr">
        <is>
          <t>Queue with several requests</t>
        </is>
      </c>
      <c r="E41" s="17" t="inlineStr">
        <is>
          <t>Click quickly between two requests.</t>
        </is>
      </c>
      <c r="F41" s="17" t="inlineStr">
        <is>
          <t>The details always match the selected request. (Fails until the D-38 fix.)</t>
        </is>
      </c>
      <c r="G41" s="21" t="inlineStr">
        <is>
          <t>Clicked quickly between CC-2026-000020 and CC-2026-000013 about 10 times, details always matched the selected request.</t>
        </is>
      </c>
      <c r="H41" s="18" t="inlineStr">
        <is>
          <t>Pass</t>
        </is>
      </c>
      <c r="I41" s="21" t="inlineStr">
        <is>
          <t>Fixed in PR #32 (D-38).</t>
        </is>
      </c>
      <c r="J41" s="21" t="inlineStr">
        <is>
          <t>Clarissa Bierman</t>
        </is>
      </c>
      <c r="K41" s="22" t="inlineStr">
        <is>
          <t>16/10/2026</t>
        </is>
      </c>
      <c r="L41" s="21" t="inlineStr">
        <is>
          <t>a21dac1</t>
        </is>
      </c>
    </row>
    <row r="42">
      <c r="A42" s="15" t="inlineStr">
        <is>
          <t>Usability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 ht="51" customHeight="1">
      <c r="A43" s="17" t="inlineStr">
        <is>
          <t>MT-33</t>
        </is>
      </c>
      <c r="B43" s="17" t="inlineStr">
        <is>
          <t>NFR-004</t>
        </is>
      </c>
      <c r="C43" s="17" t="inlineStr">
        <is>
          <t>3 first-time users (not team members)</t>
        </is>
      </c>
      <c r="D43" s="17" t="inlineStr">
        <is>
          <t>Each has never used CivicConnect and gets a dummy requester login; no instructions</t>
        </is>
      </c>
      <c r="E43" s="17" t="inlineStr">
        <is>
          <t>Ask each user to log in and submit a request for a given problem without help. Time each from logging in to the confirmation.</t>
        </is>
      </c>
      <c r="F43" s="17" t="inlineStr">
        <is>
          <t>At least 2 of the 3 submit successfully within 5 minutes, unaided.</t>
        </is>
      </c>
      <c r="G43" s="18" t="n"/>
      <c r="H43" s="18" t="inlineStr">
        <is>
          <t>Not run</t>
        </is>
      </c>
      <c r="I43" s="18" t="n"/>
      <c r="J43" s="18" t="n"/>
      <c r="K43" s="19" t="n"/>
      <c r="L43" s="18" t="n"/>
    </row>
  </sheetData>
  <conditionalFormatting sqref="H5:H43">
    <cfRule type="cellIs" priority="2" operator="equal" dxfId="2">
      <formula>"Pass"</formula>
    </cfRule>
    <cfRule type="cellIs" priority="3" operator="equal" dxfId="1">
      <formula>"Fail"</formula>
    </cfRule>
    <cfRule type="cellIs" priority="4" operator="equal" dxfId="0">
      <formula>"Blocked"</formula>
    </cfRule>
  </conditionalFormatting>
  <dataValidations count="1">
    <dataValidation sqref="H5:H43" showDropDown="0" showInputMessage="0" showErrorMessage="0" allowBlank="1" type="list">
      <formula1>"Pass,Fail,Blocked,Not run"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26" sqref="C26"/>
    </sheetView>
  </sheetViews>
  <sheetFormatPr baseColWidth="8" defaultColWidth="8.7109375" defaultRowHeight="15"/>
  <cols>
    <col width="8" customWidth="1" min="1" max="1"/>
    <col width="14" customWidth="1" min="2" max="2"/>
    <col width="18" customWidth="1" min="3" max="3"/>
    <col width="30" customWidth="1" min="4" max="4"/>
    <col width="42" customWidth="1" min="5" max="6"/>
    <col width="34" customWidth="1" min="7" max="7"/>
    <col width="11" customWidth="1" min="8" max="8"/>
    <col width="24" customWidth="1" min="9" max="9"/>
    <col width="14" customWidth="1" min="10" max="10"/>
    <col width="12" customWidth="1" min="11" max="11"/>
    <col width="18" customWidth="1" min="12" max="12"/>
  </cols>
  <sheetData>
    <row r="1" ht="18" customHeight="1">
      <c r="A1" s="12" t="inlineStr">
        <is>
          <t>Smoke tests - prod (Render), after each deploy</t>
        </is>
      </c>
    </row>
    <row r="2">
      <c r="A2" s="13" t="inlineStr">
        <is>
          <t>Fill in the yellow columns. Result: Pass, Fail, Blocked or Not run.</t>
        </is>
      </c>
    </row>
    <row r="4" ht="30" customHeight="1">
      <c r="A4" s="14" t="inlineStr">
        <is>
          <t>ID</t>
        </is>
      </c>
      <c r="B4" s="14" t="inlineStr">
        <is>
          <t>Requirement</t>
        </is>
      </c>
      <c r="C4" s="14" t="inlineStr">
        <is>
          <t>Role / account</t>
        </is>
      </c>
      <c r="D4" s="14" t="inlineStr">
        <is>
          <t>Before you start</t>
        </is>
      </c>
      <c r="E4" s="14" t="inlineStr">
        <is>
          <t>Steps</t>
        </is>
      </c>
      <c r="F4" s="14" t="inlineStr">
        <is>
          <t>Expected result</t>
        </is>
      </c>
      <c r="G4" s="14" t="inlineStr">
        <is>
          <t>Actual result</t>
        </is>
      </c>
      <c r="H4" s="14" t="inlineStr">
        <is>
          <t>Result</t>
        </is>
      </c>
      <c r="I4" s="14" t="inlineStr">
        <is>
          <t>Defect / notes</t>
        </is>
      </c>
      <c r="J4" s="14" t="inlineStr">
        <is>
          <t>Tester</t>
        </is>
      </c>
      <c r="K4" s="14" t="inlineStr">
        <is>
          <t>Date</t>
        </is>
      </c>
      <c r="L4" s="14" t="inlineStr">
        <is>
          <t>Commit / URL</t>
        </is>
      </c>
    </row>
    <row r="5">
      <c r="A5" s="15" t="inlineStr">
        <is>
          <t>After each deploy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>
      <c r="A6" s="17" t="inlineStr">
        <is>
          <t>P-01</t>
        </is>
      </c>
      <c r="B6" s="17" t="inlineStr">
        <is>
          <t>NFR-005</t>
        </is>
      </c>
      <c r="C6" s="17" t="inlineStr">
        <is>
          <t>None</t>
        </is>
      </c>
      <c r="D6" s="17" t="inlineStr">
        <is>
          <t>Deploy finished on Render</t>
        </is>
      </c>
      <c r="E6" s="17" t="inlineStr">
        <is>
          <t>Open https://&lt;site&gt;/api/v1/health.</t>
        </is>
      </c>
      <c r="F6" s="17" t="inlineStr">
        <is>
          <t>Shows {"database":"UP","status":"UP"}.</t>
        </is>
      </c>
      <c r="G6" s="18" t="n"/>
      <c r="H6" s="18" t="inlineStr">
        <is>
          <t>Not run</t>
        </is>
      </c>
      <c r="I6" s="18" t="n"/>
      <c r="J6" s="18" t="n"/>
      <c r="K6" s="19" t="n"/>
      <c r="L6" s="18" t="n"/>
    </row>
    <row r="7">
      <c r="A7" s="17" t="inlineStr">
        <is>
          <t>P-02</t>
        </is>
      </c>
      <c r="B7" s="17" t="inlineStr">
        <is>
          <t>ARC-03</t>
        </is>
      </c>
      <c r="C7" s="17" t="inlineStr">
        <is>
          <t>None</t>
        </is>
      </c>
      <c r="D7" s="17" t="n"/>
      <c r="E7" s="17" t="inlineStr">
        <is>
          <t>Open the site; refresh on /login.</t>
        </is>
      </c>
      <c r="F7" s="17" t="inlineStr">
        <is>
          <t>Loads over HTTPS; refresh works.</t>
        </is>
      </c>
      <c r="G7" s="18" t="n"/>
      <c r="H7" s="18" t="inlineStr">
        <is>
          <t>Not run</t>
        </is>
      </c>
      <c r="I7" s="18" t="n"/>
      <c r="J7" s="18" t="n"/>
      <c r="K7" s="19" t="n"/>
      <c r="L7" s="18" t="n"/>
    </row>
    <row r="8" ht="25.5" customHeight="1">
      <c r="A8" s="17" t="inlineStr">
        <is>
          <t>P-03</t>
        </is>
      </c>
      <c r="B8" s="17" t="inlineStr">
        <is>
          <t>D-31</t>
        </is>
      </c>
      <c r="C8" s="17" t="inlineStr">
        <is>
          <t>None</t>
        </is>
      </c>
      <c r="D8" s="17" t="n"/>
      <c r="E8" s="17" t="inlineStr">
        <is>
          <t>Try to log in as admin@gmail.com and one other dummy account.</t>
        </is>
      </c>
      <c r="F8" s="17" t="inlineStr">
        <is>
          <t>Both refused; no dummy account exists on prod.</t>
        </is>
      </c>
      <c r="G8" s="18" t="n"/>
      <c r="H8" s="18" t="inlineStr">
        <is>
          <t>Not run</t>
        </is>
      </c>
      <c r="I8" s="18" t="n"/>
      <c r="J8" s="18" t="n"/>
      <c r="K8" s="19" t="n"/>
      <c r="L8" s="18" t="n"/>
    </row>
    <row r="9" ht="25.5" customHeight="1">
      <c r="A9" s="17" t="inlineStr">
        <is>
          <t>P-04</t>
        </is>
      </c>
      <c r="B9" s="17" t="inlineStr">
        <is>
          <t>D-31</t>
        </is>
      </c>
      <c r="C9" s="17" t="inlineStr">
        <is>
          <t>First manager</t>
        </is>
      </c>
      <c r="D9" s="17" t="inlineStr">
        <is>
          <t>First deploy only</t>
        </is>
      </c>
      <c r="E9" s="17" t="inlineStr">
        <is>
          <t>Log in with the temporary password; change it on My account.</t>
        </is>
      </c>
      <c r="F9" s="17" t="inlineStr">
        <is>
          <t>Password changed; log in again with the new one.</t>
        </is>
      </c>
      <c r="G9" s="18" t="n"/>
      <c r="H9" s="18" t="inlineStr">
        <is>
          <t>Not run</t>
        </is>
      </c>
      <c r="I9" s="18" t="n"/>
      <c r="J9" s="18" t="n"/>
      <c r="K9" s="19" t="n"/>
      <c r="L9" s="18" t="n"/>
    </row>
    <row r="10" ht="25.5" customHeight="1">
      <c r="A10" s="17" t="inlineStr">
        <is>
          <t>P-05</t>
        </is>
      </c>
      <c r="B10" s="17" t="inlineStr">
        <is>
          <t>FR-012, FR-015</t>
        </is>
      </c>
      <c r="C10" s="17" t="inlineStr">
        <is>
          <t>Manager</t>
        </is>
      </c>
      <c r="D10" s="17" t="inlineStr">
        <is>
          <t>Logged in</t>
        </is>
      </c>
      <c r="E10" s="17" t="inlineStr">
        <is>
          <t>Open the activity, categories and staff pages.</t>
        </is>
      </c>
      <c r="F10" s="17" t="inlineStr">
        <is>
          <t>All load; the 7 categories are listed.</t>
        </is>
      </c>
      <c r="G10" s="18" t="n"/>
      <c r="H10" s="18" t="inlineStr">
        <is>
          <t>Not run</t>
        </is>
      </c>
      <c r="I10" s="18" t="n"/>
      <c r="J10" s="18" t="n"/>
      <c r="K10" s="19" t="n"/>
      <c r="L10" s="18" t="n"/>
    </row>
    <row r="11">
      <c r="A11" s="17" t="inlineStr">
        <is>
          <t>P-06</t>
        </is>
      </c>
      <c r="B11" s="17" t="inlineStr">
        <is>
          <t>FR-014</t>
        </is>
      </c>
      <c r="C11" s="17" t="inlineStr">
        <is>
          <t>Manager</t>
        </is>
      </c>
      <c r="D11" s="17" t="inlineStr">
        <is>
          <t>Logged in</t>
        </is>
      </c>
      <c r="E11" s="17" t="inlineStr">
        <is>
          <t>Log out, then open /management/staff.</t>
        </is>
      </c>
      <c r="F11" s="17" t="inlineStr">
        <is>
          <t>You are sent to the login page.</t>
        </is>
      </c>
      <c r="G11" s="18" t="n"/>
      <c r="H11" s="18" t="inlineStr">
        <is>
          <t>Not run</t>
        </is>
      </c>
      <c r="I11" s="18" t="n"/>
      <c r="J11" s="18" t="n"/>
      <c r="K11" s="19" t="n"/>
      <c r="L11" s="18" t="n"/>
    </row>
    <row r="12">
      <c r="A12" s="17" t="inlineStr">
        <is>
          <t>P-07</t>
        </is>
      </c>
      <c r="B12" s="17" t="inlineStr">
        <is>
          <t>R-15</t>
        </is>
      </c>
      <c r="C12" s="17" t="inlineStr">
        <is>
          <t>None</t>
        </is>
      </c>
      <c r="D12" s="17" t="inlineStr">
        <is>
          <t>Site idle for 15+ minutes</t>
        </is>
      </c>
      <c r="E12" s="17" t="inlineStr">
        <is>
          <t>Open the site.</t>
        </is>
      </c>
      <c r="F12" s="17" t="inlineStr">
        <is>
          <t>It wakes and works within a minute or two.</t>
        </is>
      </c>
      <c r="G12" s="18" t="n"/>
      <c r="H12" s="18" t="inlineStr">
        <is>
          <t>Not run</t>
        </is>
      </c>
      <c r="I12" s="18" t="n"/>
      <c r="J12" s="18" t="n"/>
      <c r="K12" s="19" t="n"/>
      <c r="L12" s="18" t="n"/>
    </row>
    <row r="14">
      <c r="A14" s="20" t="inlineStr">
        <is>
          <t>Never on prod</t>
        </is>
      </c>
    </row>
    <row r="15">
      <c r="A15" s="10" t="inlineStr">
        <is>
          <t>- Login lockout and rate-limit tests (they lock real accounts)</t>
        </is>
      </c>
    </row>
    <row r="16">
      <c r="A16" s="10" t="inlineStr">
        <is>
          <t>- The k6 load test</t>
        </is>
      </c>
    </row>
    <row r="17">
      <c r="A17" s="10" t="inlineStr">
        <is>
          <t>- The Playwright E2E suite (uses dummy accounts)</t>
        </is>
      </c>
    </row>
    <row r="18">
      <c r="A18" s="10" t="inlineStr">
        <is>
          <t>- Registering test accounts or submitting test requests (audit rows cannot be deleted)</t>
        </is>
      </c>
    </row>
    <row r="19">
      <c r="A19" s="10" t="inlineStr">
        <is>
          <t>- Deactivating people</t>
        </is>
      </c>
    </row>
    <row r="20">
      <c r="A20" s="10" t="inlineStr">
        <is>
          <t>- Stopping the database (MT-31)</t>
        </is>
      </c>
    </row>
  </sheetData>
  <conditionalFormatting sqref="H5:H12">
    <cfRule type="cellIs" priority="2" operator="equal" dxfId="2">
      <formula>"Pass"</formula>
    </cfRule>
    <cfRule type="cellIs" priority="3" operator="equal" dxfId="1">
      <formula>"Fail"</formula>
    </cfRule>
    <cfRule type="cellIs" priority="4" operator="equal" dxfId="0">
      <formula>"Blocked"</formula>
    </cfRule>
  </conditionalFormatting>
  <dataValidations count="1">
    <dataValidation sqref="H5:H12" showDropDown="0" showInputMessage="0" showErrorMessage="0" allowBlank="1" type="list">
      <formula1>"Pass,Fail,Blocked,Not run"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2026-10-16T15:17:52Z</dcterms:created>
  <dcterms:modified xmlns:dcterms="http://purl.org/dc/terms/" xmlns:xsi="http://www.w3.org/2001/XMLSchema-instance" xsi:type="dcterms:W3CDTF">2026-10-16T18:42:04Z</dcterms:modified>
  <cp:lastModifiedBy>Eduard Bernard Kruger Herman Herman</cp:lastModifiedBy>
  <cp:revision>0</cp:revision>
</cp:coreProperties>
</file>